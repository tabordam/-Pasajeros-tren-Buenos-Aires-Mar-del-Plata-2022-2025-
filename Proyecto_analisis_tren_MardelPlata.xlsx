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or\OneDrive\Desktop\"/>
    </mc:Choice>
  </mc:AlternateContent>
  <xr:revisionPtr revIDLastSave="0" documentId="13_ncr:1_{FBD5BD50-7D39-47D5-AE89-A07CA90A4169}" xr6:coauthVersionLast="47" xr6:coauthVersionMax="47" xr10:uidLastSave="{00000000-0000-0000-0000-000000000000}"/>
  <bookViews>
    <workbookView xWindow="-120" yWindow="-120" windowWidth="20730" windowHeight="11040" activeTab="3" xr2:uid="{8ED18B73-272C-4316-A126-C71E974F7E53}"/>
  </bookViews>
  <sheets>
    <sheet name="Base_de_Datos" sheetId="1" r:id="rId1"/>
    <sheet name="Evolucion_de_pasajeros" sheetId="2" r:id="rId2"/>
    <sheet name="Comparacion_Anual" sheetId="3" r:id="rId3"/>
    <sheet name="KPI" sheetId="4" r:id="rId4"/>
  </sheets>
  <definedNames>
    <definedName name="_xlcn.WorksheetConnection_Proyecto_analisis_tren_MardelPlata.xlsxTabla11" hidden="1">Tabla1[]</definedName>
  </definedNames>
  <calcPr calcId="191029"/>
  <pivotCaches>
    <pivotCache cacheId="17" r:id="rId5"/>
    <pivotCache cacheId="8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royecto_analisis_tren_MardelPlata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4" l="1"/>
  <c r="H7" i="4"/>
  <c r="C5" i="1"/>
  <c r="C4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E1A942-681C-4A9F-BE5E-AC729A7E3DF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2693B6E-8141-41EB-B976-72644CA3AA1A}" name="WorksheetConnection_Proyecto_analisis_tren_MardelPlata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royecto_analisis_tren_MardelPlata.xlsxTabla11"/>
        </x15:connection>
      </ext>
    </extLst>
  </connection>
</connections>
</file>

<file path=xl/sharedStrings.xml><?xml version="1.0" encoding="utf-8"?>
<sst xmlns="http://schemas.openxmlformats.org/spreadsheetml/2006/main" count="16" uniqueCount="15">
  <si>
    <t>Año</t>
  </si>
  <si>
    <t>Pasajeros estimados</t>
  </si>
  <si>
    <t>Variacion %</t>
  </si>
  <si>
    <t>Contexto</t>
  </si>
  <si>
    <t>Reactivan del servicion</t>
  </si>
  <si>
    <t>Ajustes de demanda</t>
  </si>
  <si>
    <t>Reduccion de servicio</t>
  </si>
  <si>
    <t>Menor oferta</t>
  </si>
  <si>
    <t>Seleccione el año</t>
  </si>
  <si>
    <t>Promedio de Variacion %</t>
  </si>
  <si>
    <t>Promedio por Año</t>
  </si>
  <si>
    <t>Promedio de Pasajeros estimados</t>
  </si>
  <si>
    <t>Promedio por año</t>
  </si>
  <si>
    <t>Demanda perdida</t>
  </si>
  <si>
    <t>Recuperacion necesaria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</si>
</sst>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9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0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1" applyFont="1"/>
  </cellXfs>
  <cellStyles count="2">
    <cellStyle name="Normal" xfId="0" builtinId="0"/>
    <cellStyle name="Porcentaje" xfId="1" builtinId="5"/>
  </cellStyles>
  <dxfs count="12">
    <dxf>
      <numFmt numFmtId="3" formatCode="#,##0"/>
    </dxf>
    <dxf>
      <alignment horizontal="right"/>
    </dxf>
    <dxf>
      <alignment horizontal="center"/>
    </dxf>
    <dxf>
      <alignment wrapText="1"/>
    </dxf>
    <dxf>
      <numFmt numFmtId="14" formatCode="0.00%"/>
    </dxf>
    <dxf>
      <numFmt numFmtId="13" formatCode="0%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Base_de_Datos!$B$1</c:f>
              <c:strCache>
                <c:ptCount val="1"/>
                <c:pt idx="0">
                  <c:v>Pasajeros estimados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cat>
            <c:numRef>
              <c:f>Base_de_Datos!$A$2:$A$5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Base_de_Datos!$B$2:$B$5</c:f>
              <c:numCache>
                <c:formatCode>#,##0</c:formatCode>
                <c:ptCount val="4"/>
                <c:pt idx="0">
                  <c:v>900000</c:v>
                </c:pt>
                <c:pt idx="1">
                  <c:v>800000</c:v>
                </c:pt>
                <c:pt idx="2">
                  <c:v>650000</c:v>
                </c:pt>
                <c:pt idx="3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C-444D-A253-C69268B4E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719040"/>
        <c:axId val="1235718560"/>
      </c:areaChart>
      <c:catAx>
        <c:axId val="123571904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718560"/>
        <c:crosses val="autoZero"/>
        <c:auto val="1"/>
        <c:lblAlgn val="ctr"/>
        <c:lblOffset val="100"/>
        <c:noMultiLvlLbl val="0"/>
      </c:catAx>
      <c:valAx>
        <c:axId val="12357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7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Comparacion_anual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Base_de_Datos!$A$2</c:f>
              <c:strCache>
                <c:ptCount val="1"/>
                <c:pt idx="0">
                  <c:v>2022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shade val="58000"/>
                  </a:schemeClr>
                </a:gs>
                <a:gs pos="75000">
                  <a:schemeClr val="accent4">
                    <a:shade val="58000"/>
                    <a:lumMod val="60000"/>
                    <a:lumOff val="40000"/>
                  </a:schemeClr>
                </a:gs>
                <a:gs pos="51000">
                  <a:schemeClr val="accent4">
                    <a:shade val="58000"/>
                    <a:alpha val="75000"/>
                  </a:schemeClr>
                </a:gs>
                <a:gs pos="100000">
                  <a:schemeClr val="accent4">
                    <a:shade val="58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Base_de_Datos!$B$1</c:f>
              <c:strCache>
                <c:ptCount val="1"/>
                <c:pt idx="0">
                  <c:v>Pasajeros estimados</c:v>
                </c:pt>
              </c:strCache>
            </c:strRef>
          </c:cat>
          <c:val>
            <c:numRef>
              <c:f>Base_de_Datos!$B$2</c:f>
              <c:numCache>
                <c:formatCode>#,##0</c:formatCode>
                <c:ptCount val="1"/>
                <c:pt idx="0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8-4704-A991-C11B25596D15}"/>
            </c:ext>
          </c:extLst>
        </c:ser>
        <c:ser>
          <c:idx val="1"/>
          <c:order val="1"/>
          <c:tx>
            <c:strRef>
              <c:f>Base_de_Datos!$A$3</c:f>
              <c:strCache>
                <c:ptCount val="1"/>
                <c:pt idx="0">
                  <c:v>2023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shade val="86000"/>
                  </a:schemeClr>
                </a:gs>
                <a:gs pos="75000">
                  <a:schemeClr val="accent4">
                    <a:shade val="86000"/>
                    <a:lumMod val="60000"/>
                    <a:lumOff val="40000"/>
                  </a:schemeClr>
                </a:gs>
                <a:gs pos="51000">
                  <a:schemeClr val="accent4">
                    <a:shade val="86000"/>
                    <a:alpha val="75000"/>
                  </a:schemeClr>
                </a:gs>
                <a:gs pos="100000">
                  <a:schemeClr val="accent4">
                    <a:shade val="86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Base_de_Datos!$B$1</c:f>
              <c:strCache>
                <c:ptCount val="1"/>
                <c:pt idx="0">
                  <c:v>Pasajeros estimados</c:v>
                </c:pt>
              </c:strCache>
            </c:strRef>
          </c:cat>
          <c:val>
            <c:numRef>
              <c:f>Base_de_Datos!$B$3</c:f>
              <c:numCache>
                <c:formatCode>#,##0</c:formatCode>
                <c:ptCount val="1"/>
                <c:pt idx="0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8-4704-A991-C11B25596D15}"/>
            </c:ext>
          </c:extLst>
        </c:ser>
        <c:ser>
          <c:idx val="2"/>
          <c:order val="2"/>
          <c:tx>
            <c:strRef>
              <c:f>Base_de_Datos!$A$4</c:f>
              <c:strCache>
                <c:ptCount val="1"/>
                <c:pt idx="0">
                  <c:v>2024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tint val="86000"/>
                  </a:schemeClr>
                </a:gs>
                <a:gs pos="75000">
                  <a:schemeClr val="accent4">
                    <a:tint val="86000"/>
                    <a:lumMod val="60000"/>
                    <a:lumOff val="40000"/>
                  </a:schemeClr>
                </a:gs>
                <a:gs pos="51000">
                  <a:schemeClr val="accent4">
                    <a:tint val="86000"/>
                    <a:alpha val="75000"/>
                  </a:schemeClr>
                </a:gs>
                <a:gs pos="100000">
                  <a:schemeClr val="accent4">
                    <a:tint val="86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Base_de_Datos!$B$1</c:f>
              <c:strCache>
                <c:ptCount val="1"/>
                <c:pt idx="0">
                  <c:v>Pasajeros estimados</c:v>
                </c:pt>
              </c:strCache>
            </c:strRef>
          </c:cat>
          <c:val>
            <c:numRef>
              <c:f>Base_de_Datos!$B$4</c:f>
              <c:numCache>
                <c:formatCode>#,##0</c:formatCode>
                <c:ptCount val="1"/>
                <c:pt idx="0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8-4704-A991-C11B25596D15}"/>
            </c:ext>
          </c:extLst>
        </c:ser>
        <c:ser>
          <c:idx val="3"/>
          <c:order val="3"/>
          <c:tx>
            <c:strRef>
              <c:f>Base_de_Datos!$A$5</c:f>
              <c:strCache>
                <c:ptCount val="1"/>
                <c:pt idx="0">
                  <c:v>2025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tint val="58000"/>
                  </a:schemeClr>
                </a:gs>
                <a:gs pos="75000">
                  <a:schemeClr val="accent4">
                    <a:tint val="58000"/>
                    <a:lumMod val="60000"/>
                    <a:lumOff val="40000"/>
                  </a:schemeClr>
                </a:gs>
                <a:gs pos="51000">
                  <a:schemeClr val="accent4">
                    <a:tint val="58000"/>
                    <a:alpha val="75000"/>
                  </a:schemeClr>
                </a:gs>
                <a:gs pos="100000">
                  <a:schemeClr val="accent4">
                    <a:tint val="58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Base_de_Datos!$B$1</c:f>
              <c:strCache>
                <c:ptCount val="1"/>
                <c:pt idx="0">
                  <c:v>Pasajeros estimados</c:v>
                </c:pt>
              </c:strCache>
            </c:strRef>
          </c:cat>
          <c:val>
            <c:numRef>
              <c:f>Base_de_Datos!$B$5</c:f>
              <c:numCache>
                <c:formatCode>#,##0</c:formatCode>
                <c:ptCount val="1"/>
                <c:pt idx="0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8-4704-A991-C11B25596D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241624672"/>
        <c:axId val="1241618432"/>
      </c:barChart>
      <c:catAx>
        <c:axId val="1241624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1618432"/>
        <c:crosses val="autoZero"/>
        <c:auto val="1"/>
        <c:lblAlgn val="ctr"/>
        <c:lblOffset val="100"/>
        <c:noMultiLvlLbl val="0"/>
      </c:catAx>
      <c:valAx>
        <c:axId val="1241618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162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F77B8D-59F8-4C70-8364-D791C7152DFB}">
  <sheetPr/>
  <sheetViews>
    <sheetView zoomScale="70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652FF7-9EFC-4E28-90D6-53824662A32A}">
  <sheetPr/>
  <sheetViews>
    <sheetView zoomScale="7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13607"/>
    <xdr:ext cx="8654143" cy="62592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60F3CE-0A18-06D5-F58C-BDCE4E71C2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41FFC7-6516-4642-2EF6-1CD3147CF0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Alejandro Taborda" refreshedDate="46081.365981134259" createdVersion="8" refreshedVersion="8" minRefreshableVersion="3" recordCount="4" xr:uid="{D7E8ED10-218E-4F77-BB58-A0B4EA53A414}">
  <cacheSource type="worksheet">
    <worksheetSource name="Tabla1"/>
  </cacheSource>
  <cacheFields count="4">
    <cacheField name="Año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Pasajeros estimados" numFmtId="3">
      <sharedItems containsSemiMixedTypes="0" containsString="0" containsNumber="1" containsInteger="1" minValue="520000" maxValue="900000"/>
    </cacheField>
    <cacheField name="Variacion %" numFmtId="0">
      <sharedItems containsString="0" containsBlank="1" containsNumber="1" minValue="-0.19999999999999996" maxValue="-0.11111111111111116" count="4">
        <m/>
        <n v="-0.11111111111111116"/>
        <n v="-0.1875"/>
        <n v="-0.19999999999999996"/>
      </sharedItems>
    </cacheField>
    <cacheField name="Contex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ias Alejandro Taborda" refreshedDate="46081.397991550926" backgroundQuery="1" createdVersion="8" refreshedVersion="8" minRefreshableVersion="3" recordCount="0" supportSubquery="1" supportAdvancedDrill="1" xr:uid="{E2269A50-B4D5-428E-A518-F05062376C14}">
  <cacheSource type="external" connectionId="1"/>
  <cacheFields count="2">
    <cacheField name="[Tabla1].[Año].[Año]" caption="Año" numFmtId="0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a1].[Año].&amp;[2022]"/>
            <x15:cachedUniqueName index="1" name="[Tabla1].[Año].&amp;[2023]"/>
            <x15:cachedUniqueName index="2" name="[Tabla1].[Año].&amp;[2024]"/>
            <x15:cachedUniqueName index="3" name="[Tabla1].[Año].&amp;[2025]"/>
          </x15:cachedUniqueNames>
        </ext>
      </extLst>
    </cacheField>
    <cacheField name="[Measures].[Promedio de Pasajeros estimados]" caption="Promedio de Pasajeros estimados" numFmtId="0" hierarchy="8" level="32767"/>
  </cacheFields>
  <cacheHierarchies count="9">
    <cacheHierarchy uniqueName="[Tabla1].[Año]" caption="Año" attribute="1" defaultMemberUniqueName="[Tabla1].[Año].[All]" allUniqueName="[Tabla1].[Año].[All]" dimensionUniqueName="[Tabla1]" displayFolder="" count="2" memberValueDatatype="20" unbalanced="0">
      <fieldsUsage count="2">
        <fieldUsage x="-1"/>
        <fieldUsage x="0"/>
      </fieldsUsage>
    </cacheHierarchy>
    <cacheHierarchy uniqueName="[Tabla1].[Pasajeros estimados]" caption="Pasajeros estimados" attribute="1" defaultMemberUniqueName="[Tabla1].[Pasajeros estimados].[All]" allUniqueName="[Tabla1].[Pasajeros estimados].[All]" dimensionUniqueName="[Tabla1]" displayFolder="" count="0" memberValueDatatype="20" unbalanced="0"/>
    <cacheHierarchy uniqueName="[Tabla1].[Variacion %]" caption="Variacion %" attribute="1" defaultMemberUniqueName="[Tabla1].[Variacion %].[All]" allUniqueName="[Tabla1].[Variacion %].[All]" dimensionUniqueName="[Tabla1]" displayFolder="" count="0" memberValueDatatype="5" unbalanced="0"/>
    <cacheHierarchy uniqueName="[Tabla1].[Contexto]" caption="Contexto" attribute="1" defaultMemberUniqueName="[Tabla1].[Contexto].[All]" allUniqueName="[Tabla1].[Contexto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Año]" caption="Suma de Año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asajeros estimados]" caption="Suma de Pasajeros estimados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Pasajeros estimados]" caption="Promedio de Pasajeros estimados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00000"/>
    <x v="0"/>
    <s v="Reactivan del servicion"/>
  </r>
  <r>
    <x v="1"/>
    <n v="800000"/>
    <x v="1"/>
    <s v="Ajustes de demanda"/>
  </r>
  <r>
    <x v="2"/>
    <n v="650000"/>
    <x v="2"/>
    <s v="Reduccion de servicio"/>
  </r>
  <r>
    <x v="3"/>
    <n v="520000"/>
    <x v="3"/>
    <s v="Menor ofer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61250-9D15-480A-843E-A58EBF2651F2}" name="TablaDinámica4" cacheId="85" applyNumberFormats="0" applyBorderFormats="0" applyFontFormats="0" applyPatternFormats="0" applyAlignmentFormats="0" applyWidthHeightFormats="1" dataCaption="Valores" grandTotalCaption="Promedio por año" updatedVersion="8" minRefreshableVersion="3" useAutoFormatting="1" subtotalHiddenItems="1" itemPrintTitles="1" createdVersion="8" indent="0" outline="1" outlineData="1" multipleFieldFilters="0" colHeaderCaption="Seleccione el año">
  <location ref="A5:F7" firstHeaderRow="1" firstDataRow="2" firstDataCol="1"/>
  <pivotFields count="2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Items count="1">
    <i/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Pasajeros estimados" fld="1" subtotal="average" baseField="0" baseItem="0" numFmtId="3"/>
  </dataFields>
  <formats count="2">
    <format dxfId="0">
      <pivotArea outline="0" collapsedLevelsAreSubtotals="1" fieldPosition="0"/>
    </format>
    <format dxfId="1">
      <pivotArea grandCol="1" outline="0" collapsedLevelsAreSubtotals="1" fieldPosition="0"/>
    </format>
  </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romedio de Pasajeros estimados"/>
  </pivotHierarchies>
  <pivotTableStyleInfo name="PivotStyleMedium9" showRowHeaders="1" showColHeaders="1" showRowStripes="0" showColStripes="0" showLastColumn="1"/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yecto_analisis_tren_MardelPlata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0AAB3-37A9-4AFC-9B44-91DF97982819}" name="TablaDinámica1" cacheId="17" applyNumberFormats="0" applyBorderFormats="0" applyFontFormats="0" applyPatternFormats="0" applyAlignmentFormats="0" applyWidthHeightFormats="1" dataCaption="Valores" grandTotalCaption="Promedio por Año" updatedVersion="8" minRefreshableVersion="3" useAutoFormatting="1" itemPrintTitles="1" createdVersion="8" indent="0" outline="1" outlineData="1" multipleFieldFilters="0" colHeaderCaption="Seleccione el año">
  <location ref="A1:F3" firstHeaderRow="1" firstDataRow="2" firstDataCol="1"/>
  <pivotFields count="4">
    <pivotField axis="axisCol" showAll="0">
      <items count="5">
        <item x="0"/>
        <item x="1"/>
        <item x="2"/>
        <item x="3"/>
        <item t="default"/>
      </items>
    </pivotField>
    <pivotField numFmtId="3" showAll="0"/>
    <pivotField dataField="1" showAll="0">
      <items count="5">
        <item x="3"/>
        <item x="2"/>
        <item x="1"/>
        <item x="0"/>
        <item t="default"/>
      </items>
    </pivotField>
    <pivotField showAll="0"/>
  </pivotFields>
  <rowItems count="1">
    <i/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Variacion %" fld="2" subtotal="average" baseField="0" baseItem="0"/>
  </dataFields>
  <formats count="4">
    <format dxfId="5">
      <pivotArea outline="0" collapsedLevelsAreSubtotals="1" fieldPosition="0">
        <references count="1">
          <reference field="0" count="3" selected="0">
            <x v="1"/>
            <x v="2"/>
            <x v="3"/>
          </reference>
        </references>
      </pivotArea>
    </format>
    <format dxfId="4">
      <pivotArea grandCol="1" outline="0" collapsedLevelsAreSubtotals="1" fieldPosition="0"/>
    </format>
    <format dxfId="3">
      <pivotArea dataOnly="0" labelOnly="1" grandCol="1" outline="0" fieldPosition="0"/>
    </format>
    <format dxfId="2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28861-AD48-482B-A77B-D0919F88B508}" name="Tabla1" displayName="Tabla1" ref="A1:D5" totalsRowShown="0" headerRowDxfId="11" dataDxfId="10">
  <autoFilter ref="A1:D5" xr:uid="{E7F28861-AD48-482B-A77B-D0919F88B508}"/>
  <tableColumns count="4">
    <tableColumn id="1" xr3:uid="{A23016B7-3C74-4D07-AAE4-FA6F530C4668}" name="Año" dataDxfId="9"/>
    <tableColumn id="2" xr3:uid="{4B632C76-0BE6-4E9C-B59B-765C4620D763}" name="Pasajeros estimados" dataDxfId="8"/>
    <tableColumn id="3" xr3:uid="{92329491-3D73-45F9-9D57-75B53EC984E3}" name="Variacion %" dataDxfId="7">
      <calculatedColumnFormula>(B2/B1)-1</calculatedColumnFormula>
    </tableColumn>
    <tableColumn id="4" xr3:uid="{604D9CAC-D440-4EB4-8D3E-D0611E631F01}" name="Contexto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99A7-FA23-47FB-9B73-398F1333F956}">
  <dimension ref="A1:D5"/>
  <sheetViews>
    <sheetView zoomScaleNormal="100" workbookViewId="0">
      <selection activeCell="E13" sqref="E13"/>
    </sheetView>
  </sheetViews>
  <sheetFormatPr baseColWidth="10" defaultRowHeight="15" x14ac:dyDescent="0.25"/>
  <cols>
    <col min="2" max="2" width="15.140625" customWidth="1"/>
    <col min="3" max="3" width="13.42578125" customWidth="1"/>
    <col min="4" max="4" width="23.140625" customWidth="1"/>
  </cols>
  <sheetData>
    <row r="1" spans="1:4" ht="30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1">
        <v>2022</v>
      </c>
      <c r="B2" s="3">
        <v>900000</v>
      </c>
      <c r="C2" s="1"/>
      <c r="D2" s="1" t="s">
        <v>4</v>
      </c>
    </row>
    <row r="3" spans="1:4" x14ac:dyDescent="0.25">
      <c r="A3" s="1">
        <v>2023</v>
      </c>
      <c r="B3" s="3">
        <v>800000</v>
      </c>
      <c r="C3" s="4">
        <f>(B3/B2)-1</f>
        <v>-0.11111111111111116</v>
      </c>
      <c r="D3" s="1" t="s">
        <v>5</v>
      </c>
    </row>
    <row r="4" spans="1:4" x14ac:dyDescent="0.25">
      <c r="A4" s="1">
        <v>2024</v>
      </c>
      <c r="B4" s="3">
        <v>650000</v>
      </c>
      <c r="C4" s="4">
        <f>(B4/B3)-1</f>
        <v>-0.1875</v>
      </c>
      <c r="D4" s="1" t="s">
        <v>6</v>
      </c>
    </row>
    <row r="5" spans="1:4" x14ac:dyDescent="0.25">
      <c r="A5" s="1">
        <v>2025</v>
      </c>
      <c r="B5" s="3">
        <v>520000</v>
      </c>
      <c r="C5" s="4">
        <f>(B5/B4)-1</f>
        <v>-0.19999999999999996</v>
      </c>
      <c r="D5" s="1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7222-0318-42A1-938C-4C589631B161}">
  <sheetPr>
    <pageSetUpPr fitToPage="1"/>
  </sheetPr>
  <dimension ref="A1:H7"/>
  <sheetViews>
    <sheetView tabSelected="1" zoomScale="101" zoomScaleNormal="30" workbookViewId="0">
      <selection activeCell="H7" sqref="H7"/>
    </sheetView>
  </sheetViews>
  <sheetFormatPr baseColWidth="10" defaultRowHeight="15" x14ac:dyDescent="0.25"/>
  <cols>
    <col min="1" max="1" width="32" bestFit="1" customWidth="1"/>
    <col min="2" max="2" width="19.28515625" bestFit="1" customWidth="1"/>
    <col min="3" max="5" width="7.5703125" bestFit="1" customWidth="1"/>
    <col min="6" max="7" width="17" bestFit="1" customWidth="1"/>
    <col min="8" max="8" width="21.42578125" bestFit="1" customWidth="1"/>
    <col min="9" max="9" width="11.28515625" bestFit="1" customWidth="1"/>
    <col min="10" max="10" width="14.140625" bestFit="1" customWidth="1"/>
  </cols>
  <sheetData>
    <row r="1" spans="1:8" x14ac:dyDescent="0.25">
      <c r="B1" s="5" t="s">
        <v>8</v>
      </c>
      <c r="F1" s="9"/>
    </row>
    <row r="2" spans="1:8" x14ac:dyDescent="0.25">
      <c r="B2">
        <v>2022</v>
      </c>
      <c r="C2">
        <v>2023</v>
      </c>
      <c r="D2">
        <v>2024</v>
      </c>
      <c r="E2">
        <v>2025</v>
      </c>
      <c r="F2" s="10" t="s">
        <v>10</v>
      </c>
    </row>
    <row r="3" spans="1:8" ht="14.25" customHeight="1" x14ac:dyDescent="0.25">
      <c r="A3" t="s">
        <v>9</v>
      </c>
      <c r="B3" s="6"/>
      <c r="C3" s="7">
        <v>-0.11111111111111116</v>
      </c>
      <c r="D3" s="7">
        <v>-0.1875</v>
      </c>
      <c r="E3" s="7">
        <v>-0.19999999999999996</v>
      </c>
      <c r="F3" s="11">
        <v>-0.16620370370370371</v>
      </c>
    </row>
    <row r="4" spans="1:8" x14ac:dyDescent="0.25">
      <c r="F4" s="9"/>
    </row>
    <row r="5" spans="1:8" x14ac:dyDescent="0.25">
      <c r="B5" s="5" t="s">
        <v>8</v>
      </c>
    </row>
    <row r="6" spans="1:8" x14ac:dyDescent="0.25">
      <c r="B6">
        <v>2022</v>
      </c>
      <c r="C6">
        <v>2023</v>
      </c>
      <c r="D6">
        <v>2024</v>
      </c>
      <c r="E6">
        <v>2025</v>
      </c>
      <c r="F6" t="s">
        <v>12</v>
      </c>
      <c r="G6" t="s">
        <v>13</v>
      </c>
      <c r="H6" t="s">
        <v>14</v>
      </c>
    </row>
    <row r="7" spans="1:8" x14ac:dyDescent="0.25">
      <c r="A7" t="s">
        <v>11</v>
      </c>
      <c r="B7" s="8">
        <v>900000</v>
      </c>
      <c r="C7" s="8">
        <v>800000</v>
      </c>
      <c r="D7" s="8">
        <v>650000</v>
      </c>
      <c r="E7" s="8">
        <v>520000</v>
      </c>
      <c r="F7" s="12">
        <v>717500</v>
      </c>
      <c r="G7" s="13">
        <f>(GETPIVOTDATA("[Measures].[Promedio de Pasajeros estimados]",$A$5,"[Tabla1].[Año]","[Tabla1].[Año].&amp;[2025]")/GETPIVOTDATA("[Measures].[Promedio de Pasajeros estimados]",$A$5,"[Tabla1].[Año]","[Tabla1].[Año].&amp;[2022]")-1)</f>
        <v>-0.42222222222222228</v>
      </c>
      <c r="H7" s="13">
        <f>(GETPIVOTDATA("[Measures].[Promedio de Pasajeros estimados]",$A$5,"[Tabla1].[Año]","[Tabla1].[Año].&amp;[2022]")/GETPIVOTDATA("[Measures].[Promedio de Pasajeros estimados]",$A$5,"[Tabla1].[Año]","[Tabla1].[Año].&amp;[2025]")-1)</f>
        <v>0.73076923076923084</v>
      </c>
    </row>
  </sheetData>
  <conditionalFormatting sqref="G7:H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2</vt:i4>
      </vt:variant>
    </vt:vector>
  </HeadingPairs>
  <TitlesOfParts>
    <vt:vector size="4" baseType="lpstr">
      <vt:lpstr>Base_de_Datos</vt:lpstr>
      <vt:lpstr>KPI</vt:lpstr>
      <vt:lpstr>Evolucion_de_pasajeros</vt:lpstr>
      <vt:lpstr>Comparacion_Anual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Alejandro Taborda</dc:creator>
  <cp:lastModifiedBy>Matias Alejandro Taborda</cp:lastModifiedBy>
  <cp:lastPrinted>2026-02-28T12:34:44Z</cp:lastPrinted>
  <dcterms:created xsi:type="dcterms:W3CDTF">2026-02-27T17:04:27Z</dcterms:created>
  <dcterms:modified xsi:type="dcterms:W3CDTF">2026-02-28T12:35:17Z</dcterms:modified>
</cp:coreProperties>
</file>